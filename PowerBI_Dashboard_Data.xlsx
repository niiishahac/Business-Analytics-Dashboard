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roducts" sheetId="2" state="visible" r:id="rId4"/>
    <sheet name="Regions" sheetId="3" state="visible" r:id="rId5"/>
    <sheet name="Customers" sheetId="4" state="visible" r:id="rId6"/>
    <sheet name="DAX_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<sst xmlns="http://schemas.openxmlformats.org/spreadsheetml/2006/main" count="318" uniqueCount="190">
  <si>
    <t xml:space="preserve">Month</t>
  </si>
  <si>
    <t xml:space="preserve">Month_Num</t>
  </si>
  <si>
    <t xml:space="preserve">Revenue</t>
  </si>
  <si>
    <t xml:space="preserve">Target</t>
  </si>
  <si>
    <t xml:space="preserve">Gross_Margin</t>
  </si>
  <si>
    <t xml:space="preserve">Orders</t>
  </si>
  <si>
    <t xml:space="preserve">Region</t>
  </si>
  <si>
    <t xml:space="preserve">January</t>
  </si>
  <si>
    <t xml:space="preserve">North</t>
  </si>
  <si>
    <t xml:space="preserve">February</t>
  </si>
  <si>
    <t xml:space="preserve">South</t>
  </si>
  <si>
    <t xml:space="preserve">March</t>
  </si>
  <si>
    <t xml:space="preserve">East</t>
  </si>
  <si>
    <t xml:space="preserve">April</t>
  </si>
  <si>
    <t xml:space="preserve">West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</si>
  <si>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</si>
  <si>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</si>
  <si>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</si>
  <si>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</si>
  <si>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</si>
  <si>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</si>
  <si>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</si>
  <si>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</si>
  <si>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</si>
  <si>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Product_ID</t>
  </si>
  <si>
    <t xml:space="preserve">Product_Name</t>
  </si>
  <si>
    <t xml:space="preserve">Category</t>
  </si>
  <si>
    <t xml:space="preserve">Margin_%</t>
  </si>
  <si>
    <t xml:space="preserve">Units_Sold</t>
  </si>
  <si>
    <t xml:space="preserve">Status</t>
  </si>
  <si>
    <t xml:space="preserve">P001</t>
  </si>
  <si>
    <t xml:space="preserve">CloudSuite Pro</t>
  </si>
  <si>
    <t xml:space="preserve">Software</t>
  </si>
  <si>
    <t xml:space="preserve">On Track</t>
  </si>
  <si>
    <t xml:space="preserve">P002</t>
  </si>
  <si>
    <t xml:space="preserve">DataBridge X</t>
  </si>
  <si>
    <t xml:space="preserve">P003</t>
  </si>
  <si>
    <t xml:space="preserve">EdgeRouter 3</t>
  </si>
  <si>
    <t xml:space="preserve">Hardware</t>
  </si>
  <si>
    <t xml:space="preserve">Monitor</t>
  </si>
  <si>
    <t xml:space="preserve">P004</t>
  </si>
  <si>
    <t xml:space="preserve">NetSwitch Ultra</t>
  </si>
  <si>
    <t xml:space="preserve">P005</t>
  </si>
  <si>
    <t xml:space="preserve">FieldOps Lite</t>
  </si>
  <si>
    <t xml:space="preserve">Services</t>
  </si>
  <si>
    <t xml:space="preserve">P006</t>
  </si>
  <si>
    <t xml:space="preserve">SupportDesk Pro</t>
  </si>
  <si>
    <t xml:space="preserve">P007</t>
  </si>
  <si>
    <t xml:space="preserve">BizConsult 360</t>
  </si>
  <si>
    <t xml:space="preserve">Consulting</t>
  </si>
  <si>
    <t xml:space="preserve">At Risk</t>
  </si>
  <si>
    <t xml:space="preserve">P008</t>
  </si>
  <si>
    <t xml:space="preserve">LegacySync</t>
  </si>
  <si>
    <t xml:space="preserve">P009</t>
  </si>
  <si>
    <t xml:space="preserve">TechBridge API</t>
  </si>
  <si>
    <t xml:space="preserve">P010</t>
  </si>
  <si>
    <t xml:space="preserve">HardLink Cable</t>
  </si>
  <si>
    <t xml:space="preserve">Attainment_%</t>
  </si>
  <si>
    <t xml:space="preserve">Customers</t>
  </si>
  <si>
    <t xml:space="preserve">Avg_Order_Value</t>
  </si>
  <si>
    <t xml:space="preserve">Customer_ID</t>
  </si>
  <si>
    <t xml:space="preserve">Customer_Name</t>
  </si>
  <si>
    <t xml:space="preserve">Segment</t>
  </si>
  <si>
    <t xml:space="preserve">Total_Spend</t>
  </si>
  <si>
    <t xml:space="preserve">Last_Order</t>
  </si>
  <si>
    <t xml:space="preserve">C001</t>
  </si>
  <si>
    <t xml:space="preserve">TechNova 1</t>
  </si>
  <si>
    <t xml:space="preserve">Mid-Market</t>
  </si>
  <si>
    <t xml:space="preserve">C002</t>
  </si>
  <si>
    <t xml:space="preserve">GlobalEdge 2</t>
  </si>
  <si>
    <t xml:space="preserve">SMB</t>
  </si>
  <si>
    <t xml:space="preserve">C003</t>
  </si>
  <si>
    <t xml:space="preserve">BrightPath 3</t>
  </si>
  <si>
    <t xml:space="preserve">Enterprise</t>
  </si>
  <si>
    <t xml:space="preserve">C004</t>
  </si>
  <si>
    <t xml:space="preserve">SkyLink 4</t>
  </si>
  <si>
    <t xml:space="preserve">C005</t>
  </si>
  <si>
    <t xml:space="preserve">DataCore 5</t>
  </si>
  <si>
    <t xml:space="preserve">C006</t>
  </si>
  <si>
    <t xml:space="preserve">NexGen 6</t>
  </si>
  <si>
    <t xml:space="preserve">C007</t>
  </si>
  <si>
    <t xml:space="preserve">PrimeWave 7</t>
  </si>
  <si>
    <t xml:space="preserve">C008</t>
  </si>
  <si>
    <t xml:space="preserve">ClearVision 8</t>
  </si>
  <si>
    <t xml:space="preserve">C009</t>
  </si>
  <si>
    <t xml:space="preserve">Horizon Ltd 9</t>
  </si>
  <si>
    <t xml:space="preserve">C010</t>
  </si>
  <si>
    <t xml:space="preserve">QuantumPeak 10</t>
  </si>
  <si>
    <t xml:space="preserve">C011</t>
  </si>
  <si>
    <t xml:space="preserve">BlueStar 11</t>
  </si>
  <si>
    <t xml:space="preserve">C012</t>
  </si>
  <si>
    <t xml:space="preserve">RedRock 12</t>
  </si>
  <si>
    <t xml:space="preserve">C013</t>
  </si>
  <si>
    <t xml:space="preserve">GreenField 13</t>
  </si>
  <si>
    <t xml:space="preserve">C014</t>
  </si>
  <si>
    <t xml:space="preserve">SilverLine 14</t>
  </si>
  <si>
    <t xml:space="preserve">C015</t>
  </si>
  <si>
    <t xml:space="preserve">IronGate 15</t>
  </si>
  <si>
    <t xml:space="preserve">C016</t>
  </si>
  <si>
    <t xml:space="preserve">StoneBridge 16</t>
  </si>
  <si>
    <t xml:space="preserve">C017</t>
  </si>
  <si>
    <t xml:space="preserve">CloudNine 17</t>
  </si>
  <si>
    <t xml:space="preserve">C018</t>
  </si>
  <si>
    <t xml:space="preserve">PixelForce 18</t>
  </si>
  <si>
    <t xml:space="preserve">C019</t>
  </si>
  <si>
    <t xml:space="preserve">RapidFlow 19</t>
  </si>
  <si>
    <t xml:space="preserve">C020</t>
  </si>
  <si>
    <t xml:space="preserve">Acme Corp 20</t>
  </si>
  <si>
    <t xml:space="preserve">C021</t>
  </si>
  <si>
    <t xml:space="preserve">TechNova 21</t>
  </si>
  <si>
    <t xml:space="preserve">C022</t>
  </si>
  <si>
    <t xml:space="preserve">GlobalEdge 22</t>
  </si>
  <si>
    <t xml:space="preserve">C023</t>
  </si>
  <si>
    <t xml:space="preserve">BrightPath 23</t>
  </si>
  <si>
    <t xml:space="preserve">C024</t>
  </si>
  <si>
    <t xml:space="preserve">SkyLink 24</t>
  </si>
  <si>
    <t xml:space="preserve">C025</t>
  </si>
  <si>
    <t xml:space="preserve">DataCore 25</t>
  </si>
  <si>
    <t xml:space="preserve">C026</t>
  </si>
  <si>
    <t xml:space="preserve">NexGen 26</t>
  </si>
  <si>
    <t xml:space="preserve">C027</t>
  </si>
  <si>
    <t xml:space="preserve">PrimeWave 27</t>
  </si>
  <si>
    <t xml:space="preserve">C028</t>
  </si>
  <si>
    <t xml:space="preserve">ClearVision 28</t>
  </si>
  <si>
    <t xml:space="preserve">C029</t>
  </si>
  <si>
    <t xml:space="preserve">Horizon Ltd 29</t>
  </si>
  <si>
    <t xml:space="preserve">C030</t>
  </si>
  <si>
    <t xml:space="preserve">QuantumPeak 30</t>
  </si>
  <si>
    <t xml:space="preserve">C031</t>
  </si>
  <si>
    <t xml:space="preserve">BlueStar 31</t>
  </si>
  <si>
    <t xml:space="preserve">C032</t>
  </si>
  <si>
    <t xml:space="preserve">RedRock 32</t>
  </si>
  <si>
    <t xml:space="preserve">C033</t>
  </si>
  <si>
    <t xml:space="preserve">GreenField 33</t>
  </si>
  <si>
    <t xml:space="preserve">C034</t>
  </si>
  <si>
    <t xml:space="preserve">SilverLine 34</t>
  </si>
  <si>
    <t xml:space="preserve">C035</t>
  </si>
  <si>
    <t xml:space="preserve">IronGate 35</t>
  </si>
  <si>
    <t xml:space="preserve">C036</t>
  </si>
  <si>
    <t xml:space="preserve">StoneBridge 36</t>
  </si>
  <si>
    <t xml:space="preserve">C037</t>
  </si>
  <si>
    <t xml:space="preserve">CloudNine 37</t>
  </si>
  <si>
    <t xml:space="preserve">C038</t>
  </si>
  <si>
    <t xml:space="preserve">PixelForce 38</t>
  </si>
  <si>
    <t xml:space="preserve">C039</t>
  </si>
  <si>
    <t xml:space="preserve">RapidFlow 39</t>
  </si>
  <si>
    <t xml:space="preserve">C040</t>
  </si>
  <si>
    <t xml:space="preserve">Acme Corp 40</t>
  </si>
  <si>
    <t xml:space="preserve">C041</t>
  </si>
  <si>
    <t xml:space="preserve">TechNova 41</t>
  </si>
  <si>
    <t xml:space="preserve">C042</t>
  </si>
  <si>
    <t xml:space="preserve">GlobalEdge 42</t>
  </si>
  <si>
    <t xml:space="preserve">C043</t>
  </si>
  <si>
    <t xml:space="preserve">BrightPath 43</t>
  </si>
  <si>
    <t xml:space="preserve">C044</t>
  </si>
  <si>
    <t xml:space="preserve">SkyLink 44</t>
  </si>
  <si>
    <t xml:space="preserve">C045</t>
  </si>
  <si>
    <t xml:space="preserve">DataCore 45</t>
  </si>
  <si>
    <t xml:space="preserve">C046</t>
  </si>
  <si>
    <t xml:space="preserve">NexGen 46</t>
  </si>
  <si>
    <t xml:space="preserve">C047</t>
  </si>
  <si>
    <t xml:space="preserve">PrimeWave 47</t>
  </si>
  <si>
    <t xml:space="preserve">C048</t>
  </si>
  <si>
    <t xml:space="preserve">ClearVision 48</t>
  </si>
  <si>
    <t xml:space="preserve">C049</t>
  </si>
  <si>
    <t xml:space="preserve">Horizon Ltd 49</t>
  </si>
  <si>
    <t xml:space="preserve">C050</t>
  </si>
  <si>
    <t xml:space="preserve">QuantumPeak 50</t>
  </si>
  <si>
    <t xml:space="preserve">Measure Name</t>
  </si>
  <si>
    <t xml:space="preserve">DAX Formula — Copy into Power BI</t>
  </si>
  <si>
    <t xml:space="preserve">Total Revenue</t>
  </si>
  <si>
    <t xml:space="preserve">Total Revenue = SUM(Sales[Revenue])</t>
  </si>
  <si>
    <t xml:space="preserve">Revenue Target</t>
  </si>
  <si>
    <t xml:space="preserve">Revenue Target = SUM(Sales[Target])</t>
  </si>
  <si>
    <t xml:space="preserve">Gross Margin %</t>
  </si>
  <si>
    <t xml:space="preserve">Gross Margin % = AVERAGE(Sales[Gross_Margin])</t>
  </si>
  <si>
    <t xml:space="preserve">Total Orders</t>
  </si>
  <si>
    <t xml:space="preserve">Total Orders = SUM(Sales[Orders])</t>
  </si>
  <si>
    <t xml:space="preserve">Active Customers</t>
  </si>
  <si>
    <t xml:space="preserve">Active Customers = DISTINCTCOUNT(Customers[Customer_ID])</t>
  </si>
  <si>
    <t xml:space="preserve">Avg Order Value</t>
  </si>
  <si>
    <t xml:space="preserve">Avg Order Value = DIVIDE([Total Revenue], [Total Orders])</t>
  </si>
  <si>
    <t xml:space="preserve">YoY Growth %</t>
  </si>
  <si>
    <t xml:space="preserve">YoY Growth % = DIVIDE([Total Revenue] - [Revenue LY], [Revenue LY])</t>
  </si>
  <si>
    <t xml:space="preserve">Attainment %</t>
  </si>
  <si>
    <t xml:space="preserve">Attainment % = DIVIDE([Total Revenue], [Revenue Target])</t>
  </si>
  <si>
    <t xml:space="preserve">Revenue vs Target</t>
  </si>
  <si>
    <t xml:space="preserve">Revenue vs Target = [Total Revenue] - [Revenue Target]</t>
  </si>
  <si>
    <t xml:space="preserve">High Margin Products</t>
  </si>
  <si>
    <t xml:space="preserve">High Margin = CALCULATE(COUNTROWS(Products), Products[Margin_%] &gt; 0.35)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</si>
</sst>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#,##0"/>
    <numFmt numFmtId="168" formatCode="dd\-mmm\-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185FA5"/>
      <name val="Courier Ne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E6F1FB"/>
        <bgColor rgb="FFE1F5EE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AEEDA"/>
      </patternFill>
    </fill>
    <fill>
      <patternFill patternType="solid">
        <fgColor rgb="FFBA7517"/>
        <bgColor rgb="FFFF6600"/>
      </patternFill>
    </fill>
    <fill>
      <patternFill patternType="solid">
        <fgColor rgb="FFD4537E"/>
        <bgColor rgb="FF993366"/>
      </patternFill>
    </fill>
    <fill>
      <patternFill patternType="solid">
        <fgColor rgb="FF444441"/>
        <bgColor rgb="FF333300"/>
      </patternFill>
    </fill>
    <fill>
      <patternFill patternType="solid">
        <fgColor rgb="FFF1EFE8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CCCCC"/>
      <rgbColor rgb="FF808080"/>
      <rgbColor rgb="FF9999FF"/>
      <rgbColor rgb="FFD4537E"/>
      <rgbColor rgb="FFFAEEDA"/>
      <rgbColor rgb="FFE1F5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1EFE8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3" t="n">
        <v>380000</v>
      </c>
      <c r="D2" s="3" t="n">
        <v>400000</v>
      </c>
      <c r="E2" s="4" t="n">
        <v>0.38</v>
      </c>
      <c r="F2" s="2" t="n">
        <v>185</v>
      </c>
      <c r="G2" s="2" t="s">
        <v>8</v>
      </c>
    </row>
    <row r="3" customFormat="false" ht="15" hidden="false" customHeight="false" outlineLevel="0" collapsed="false">
      <c r="A3" s="2" t="s">
        <v>9</v>
      </c>
      <c r="B3" s="2" t="n">
        <v>2</v>
      </c>
      <c r="C3" s="3" t="n">
        <v>420000</v>
      </c>
      <c r="D3" s="3" t="n">
        <v>410000</v>
      </c>
      <c r="E3" s="4" t="n">
        <v>0.4</v>
      </c>
      <c r="F3" s="2" t="n">
        <v>204</v>
      </c>
      <c r="G3" s="2" t="s">
        <v>10</v>
      </c>
    </row>
    <row r="4" customFormat="false" ht="15" hidden="false" customHeight="false" outlineLevel="0" collapsed="false">
      <c r="A4" s="2" t="s">
        <v>11</v>
      </c>
      <c r="B4" s="2" t="n">
        <v>3</v>
      </c>
      <c r="C4" s="3" t="n">
        <v>395000</v>
      </c>
      <c r="D4" s="3" t="n">
        <v>410000</v>
      </c>
      <c r="E4" s="4" t="n">
        <v>0.37</v>
      </c>
      <c r="F4" s="2" t="n">
        <v>192</v>
      </c>
      <c r="G4" s="2" t="s">
        <v>12</v>
      </c>
    </row>
    <row r="5" customFormat="false" ht="15" hidden="false" customHeight="false" outlineLevel="0" collapsed="false">
      <c r="A5" s="2" t="s">
        <v>13</v>
      </c>
      <c r="B5" s="2" t="n">
        <v>4</v>
      </c>
      <c r="C5" s="3" t="n">
        <v>460000</v>
      </c>
      <c r="D5" s="3" t="n">
        <v>440000</v>
      </c>
      <c r="E5" s="4" t="n">
        <v>0.39</v>
      </c>
      <c r="F5" s="2" t="n">
        <v>224</v>
      </c>
      <c r="G5" s="2" t="s">
        <v>14</v>
      </c>
    </row>
    <row r="6" customFormat="false" ht="15" hidden="false" customHeight="false" outlineLevel="0" collapsed="false">
      <c r="A6" s="2" t="s">
        <v>15</v>
      </c>
      <c r="B6" s="2" t="n">
        <v>5</v>
      </c>
      <c r="C6" s="3" t="n">
        <v>510000</v>
      </c>
      <c r="D6" s="3" t="n">
        <v>480000</v>
      </c>
      <c r="E6" s="4" t="n">
        <v>0.41</v>
      </c>
      <c r="F6" s="2" t="n">
        <v>248</v>
      </c>
      <c r="G6" s="2" t="s">
        <v>8</v>
      </c>
    </row>
    <row r="7" customFormat="false" ht="15" hidden="false" customHeight="false" outlineLevel="0" collapsed="false">
      <c r="A7" s="2" t="s">
        <v>16</v>
      </c>
      <c r="B7" s="2" t="n">
        <v>6</v>
      </c>
      <c r="C7" s="3" t="n">
        <v>490000</v>
      </c>
      <c r="D7" s="3" t="n">
        <v>480000</v>
      </c>
      <c r="E7" s="4" t="n">
        <v>0.38</v>
      </c>
      <c r="F7" s="2" t="n">
        <v>238</v>
      </c>
      <c r="G7" s="2" t="s">
        <v>10</v>
      </c>
    </row>
    <row r="8" customFormat="false" ht="15" hidden="false" customHeight="false" outlineLevel="0" collapsed="false">
      <c r="A8" s="2" t="s">
        <v>17</v>
      </c>
      <c r="B8" s="2" t="n">
        <v>7</v>
      </c>
      <c r="C8" s="3" t="n">
        <v>540000</v>
      </c>
      <c r="D8" s="3" t="n">
        <v>520000</v>
      </c>
      <c r="E8" s="4" t="n">
        <v>0.42</v>
      </c>
      <c r="F8" s="2" t="n">
        <v>263</v>
      </c>
      <c r="G8" s="2" t="s">
        <v>12</v>
      </c>
    </row>
    <row r="9" customFormat="false" ht="15" hidden="false" customHeight="false" outlineLevel="0" collapsed="false">
      <c r="A9" s="2" t="s">
        <v>18</v>
      </c>
      <c r="B9" s="2" t="n">
        <v>8</v>
      </c>
      <c r="C9" s="3" t="n">
        <v>575000</v>
      </c>
      <c r="D9" s="3" t="n">
        <v>540000</v>
      </c>
      <c r="E9" s="4" t="n">
        <v>0.4</v>
      </c>
      <c r="F9" s="2" t="n">
        <v>280</v>
      </c>
      <c r="G9" s="2" t="s">
        <v>14</v>
      </c>
    </row>
    <row r="10" customFormat="false" ht="15" hidden="false" customHeight="false" outlineLevel="0" collapsed="false">
      <c r="A10" s="2" t="s">
        <v>19</v>
      </c>
      <c r="B10" s="2" t="n">
        <v>9</v>
      </c>
      <c r="C10" s="3" t="n">
        <v>520000</v>
      </c>
      <c r="D10" s="3" t="n">
        <v>540000</v>
      </c>
      <c r="E10" s="4" t="n">
        <v>0.39</v>
      </c>
      <c r="F10" s="2" t="n">
        <v>253</v>
      </c>
      <c r="G10" s="2" t="s">
        <v>8</v>
      </c>
    </row>
    <row r="11" customFormat="false" ht="15" hidden="false" customHeight="false" outlineLevel="0" collapsed="false">
      <c r="A11" s="2" t="s">
        <v>20</v>
      </c>
      <c r="B11" s="2" t="n">
        <v>10</v>
      </c>
      <c r="C11" s="3" t="n">
        <v>610000</v>
      </c>
      <c r="D11" s="3" t="n">
        <v>590000</v>
      </c>
      <c r="E11" s="4" t="n">
        <v>0.43</v>
      </c>
      <c r="F11" s="2" t="n">
        <v>297</v>
      </c>
      <c r="G11" s="2" t="s">
        <v>10</v>
      </c>
    </row>
    <row r="12" customFormat="false" ht="15" hidden="false" customHeight="false" outlineLevel="0" collapsed="false">
      <c r="A12" s="2" t="s">
        <v>21</v>
      </c>
      <c r="B12" s="2" t="n">
        <v>11</v>
      </c>
      <c r="C12" s="3" t="n">
        <v>580000</v>
      </c>
      <c r="D12" s="3" t="n">
        <v>600000</v>
      </c>
      <c r="E12" s="4" t="n">
        <v>0.38</v>
      </c>
      <c r="F12" s="2" t="n">
        <v>282</v>
      </c>
      <c r="G12" s="2" t="s">
        <v>12</v>
      </c>
    </row>
    <row r="13" customFormat="false" ht="15" hidden="false" customHeight="false" outlineLevel="0" collapsed="false">
      <c r="A13" s="2" t="s">
        <v>22</v>
      </c>
      <c r="B13" s="2" t="n">
        <v>12</v>
      </c>
      <c r="C13" s="3" t="n">
        <v>640000</v>
      </c>
      <c r="D13" s="3" t="n">
        <v>620000</v>
      </c>
      <c r="E13" s="4" t="n">
        <v>0.44</v>
      </c>
      <c r="F13" s="2" t="n">
        <v>312</v>
      </c>
      <c r="G13" s="2" t="s">
        <v>14</v>
      </c>
    </row>
    <row r="15" customFormat="false" ht="15" hidden="false" customHeight="false" outlineLevel="0" collapsed="false">
      <c r="A15" s="5" t="s">
        <v>23</v>
      </c>
      <c r="C15" s="6" t="n">
        <f aca="false">SUM(C2:C13)</f>
        <v>6120000</v>
      </c>
      <c r="D15" s="6" t="n">
        <f aca="false">SUM(D2:D13)</f>
        <v>6030000</v>
      </c>
      <c r="E15" s="7" t="n">
        <f aca="false">AVERAGE(E2:E13)</f>
        <v>0.399166666666667</v>
      </c>
      <c r="F15" s="8" t="n">
        <f aca="false">SUM(F2:F13)</f>
        <v>2978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21.75" hidden="false" customHeight="true" outlineLevel="0" collapsed="false">
      <c r="A1" s="9" t="s">
        <v>24</v>
      </c>
      <c r="B1" s="9" t="s">
        <v>25</v>
      </c>
      <c r="C1" s="9" t="s">
        <v>26</v>
      </c>
      <c r="D1" s="9" t="s">
        <v>2</v>
      </c>
      <c r="E1" s="9" t="s">
        <v>27</v>
      </c>
      <c r="F1" s="9" t="s">
        <v>28</v>
      </c>
      <c r="G1" s="9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3" t="n">
        <v>842000</v>
      </c>
      <c r="E2" s="4" t="n">
        <v>0.441</v>
      </c>
      <c r="F2" s="10" t="n">
        <v>410</v>
      </c>
      <c r="G2" s="11" t="s">
        <v>33</v>
      </c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32</v>
      </c>
      <c r="D3" s="3" t="n">
        <v>631000</v>
      </c>
      <c r="E3" s="4" t="n">
        <v>0.387</v>
      </c>
      <c r="F3" s="10" t="n">
        <v>307</v>
      </c>
      <c r="G3" s="11" t="s">
        <v>33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s">
        <v>38</v>
      </c>
      <c r="D4" s="3" t="n">
        <v>510000</v>
      </c>
      <c r="E4" s="4" t="n">
        <v>0.293</v>
      </c>
      <c r="F4" s="10" t="n">
        <v>680</v>
      </c>
      <c r="G4" s="12" t="s">
        <v>39</v>
      </c>
    </row>
    <row r="5" customFormat="false" ht="15" hidden="false" customHeight="false" outlineLevel="0" collapsed="false">
      <c r="A5" s="2" t="s">
        <v>40</v>
      </c>
      <c r="B5" s="2" t="s">
        <v>41</v>
      </c>
      <c r="C5" s="2" t="s">
        <v>38</v>
      </c>
      <c r="D5" s="3" t="n">
        <v>389000</v>
      </c>
      <c r="E5" s="4" t="n">
        <v>0.271</v>
      </c>
      <c r="F5" s="10" t="n">
        <v>519</v>
      </c>
      <c r="G5" s="12" t="s">
        <v>39</v>
      </c>
    </row>
    <row r="6" customFormat="false" ht="15" hidden="false" customHeight="false" outlineLevel="0" collapsed="false">
      <c r="A6" s="2" t="s">
        <v>42</v>
      </c>
      <c r="B6" s="2" t="s">
        <v>43</v>
      </c>
      <c r="C6" s="2" t="s">
        <v>44</v>
      </c>
      <c r="D6" s="3" t="n">
        <v>387000</v>
      </c>
      <c r="E6" s="4" t="n">
        <v>0.221</v>
      </c>
      <c r="F6" s="10" t="n">
        <v>890</v>
      </c>
      <c r="G6" s="12" t="s">
        <v>39</v>
      </c>
    </row>
    <row r="7" customFormat="false" ht="15" hidden="false" customHeight="false" outlineLevel="0" collapsed="false">
      <c r="A7" s="2" t="s">
        <v>45</v>
      </c>
      <c r="B7" s="2" t="s">
        <v>46</v>
      </c>
      <c r="C7" s="2" t="s">
        <v>44</v>
      </c>
      <c r="D7" s="3" t="n">
        <v>275000</v>
      </c>
      <c r="E7" s="4" t="n">
        <v>0.318</v>
      </c>
      <c r="F7" s="10" t="n">
        <v>412</v>
      </c>
      <c r="G7" s="11" t="s">
        <v>33</v>
      </c>
    </row>
    <row r="8" customFormat="false" ht="15" hidden="false" customHeight="false" outlineLevel="0" collapsed="false">
      <c r="A8" s="2" t="s">
        <v>47</v>
      </c>
      <c r="B8" s="2" t="s">
        <v>48</v>
      </c>
      <c r="C8" s="2" t="s">
        <v>49</v>
      </c>
      <c r="D8" s="3" t="n">
        <v>198000</v>
      </c>
      <c r="E8" s="4" t="n">
        <v>0.114</v>
      </c>
      <c r="F8" s="10" t="n">
        <v>96</v>
      </c>
      <c r="G8" s="13" t="s">
        <v>50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32</v>
      </c>
      <c r="D9" s="3" t="n">
        <v>165000</v>
      </c>
      <c r="E9" s="4" t="n">
        <v>0.198</v>
      </c>
      <c r="F9" s="10" t="n">
        <v>203</v>
      </c>
      <c r="G9" s="13" t="s">
        <v>50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32</v>
      </c>
      <c r="D10" s="3" t="n">
        <v>124000</v>
      </c>
      <c r="E10" s="4" t="n">
        <v>0.412</v>
      </c>
      <c r="F10" s="10" t="n">
        <v>148</v>
      </c>
      <c r="G10" s="11" t="s">
        <v>33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38</v>
      </c>
      <c r="D11" s="3" t="n">
        <v>101000</v>
      </c>
      <c r="E11" s="4" t="n">
        <v>0.157</v>
      </c>
      <c r="F11" s="10" t="n">
        <v>1240</v>
      </c>
      <c r="G11" s="1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21.75" hidden="false" customHeight="true" outlineLevel="0" collapsed="false">
      <c r="A1" s="14" t="s">
        <v>6</v>
      </c>
      <c r="B1" s="14" t="s">
        <v>2</v>
      </c>
      <c r="C1" s="14" t="s">
        <v>3</v>
      </c>
      <c r="D1" s="14" t="s">
        <v>57</v>
      </c>
      <c r="E1" s="14" t="s">
        <v>58</v>
      </c>
      <c r="F1" s="14" t="s">
        <v>59</v>
      </c>
    </row>
    <row r="2" customFormat="false" ht="15" hidden="false" customHeight="false" outlineLevel="0" collapsed="false">
      <c r="A2" s="2" t="s">
        <v>8</v>
      </c>
      <c r="B2" s="3" t="n">
        <v>1240000</v>
      </c>
      <c r="C2" s="3" t="n">
        <v>1300000</v>
      </c>
      <c r="D2" s="4" t="n">
        <f aca="false">B2/C2</f>
        <v>0.953846153846154</v>
      </c>
      <c r="E2" s="10" t="n">
        <v>612</v>
      </c>
      <c r="F2" s="3" t="n">
        <v>2026</v>
      </c>
    </row>
    <row r="3" customFormat="false" ht="15" hidden="false" customHeight="false" outlineLevel="0" collapsed="false">
      <c r="A3" s="2" t="s">
        <v>10</v>
      </c>
      <c r="B3" s="3" t="n">
        <v>1080000</v>
      </c>
      <c r="C3" s="3" t="n">
        <v>1200000</v>
      </c>
      <c r="D3" s="4" t="n">
        <f aca="false">B3/C3</f>
        <v>0.9</v>
      </c>
      <c r="E3" s="10" t="n">
        <v>534</v>
      </c>
      <c r="F3" s="3" t="n">
        <v>2022</v>
      </c>
    </row>
    <row r="4" customFormat="false" ht="15" hidden="false" customHeight="false" outlineLevel="0" collapsed="false">
      <c r="A4" s="2" t="s">
        <v>12</v>
      </c>
      <c r="B4" s="3" t="n">
        <v>1410000</v>
      </c>
      <c r="C4" s="3" t="n">
        <v>1380000</v>
      </c>
      <c r="D4" s="4" t="n">
        <f aca="false">B4/C4</f>
        <v>1.02173913043478</v>
      </c>
      <c r="E4" s="10" t="n">
        <v>701</v>
      </c>
      <c r="F4" s="3" t="n">
        <v>2012</v>
      </c>
    </row>
    <row r="5" customFormat="false" ht="15" hidden="false" customHeight="false" outlineLevel="0" collapsed="false">
      <c r="A5" s="2" t="s">
        <v>14</v>
      </c>
      <c r="B5" s="3" t="n">
        <v>1090000</v>
      </c>
      <c r="C5" s="3" t="n">
        <v>1120000</v>
      </c>
      <c r="D5" s="4" t="n">
        <f aca="false">B5/C5</f>
        <v>0.973214285714286</v>
      </c>
      <c r="E5" s="10" t="n">
        <v>494</v>
      </c>
      <c r="F5" s="3" t="n">
        <v>2206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21.75" hidden="false" customHeight="true" outlineLevel="0" collapsed="false">
      <c r="A1" s="15" t="s">
        <v>60</v>
      </c>
      <c r="B1" s="15" t="s">
        <v>61</v>
      </c>
      <c r="C1" s="15" t="s">
        <v>6</v>
      </c>
      <c r="D1" s="15" t="s">
        <v>62</v>
      </c>
      <c r="E1" s="15" t="s">
        <v>5</v>
      </c>
      <c r="F1" s="15" t="s">
        <v>63</v>
      </c>
      <c r="G1" s="15" t="s">
        <v>64</v>
      </c>
    </row>
    <row r="2" customFormat="false" ht="15" hidden="false" customHeight="false" outlineLevel="0" collapsed="false">
      <c r="A2" s="2" t="s">
        <v>65</v>
      </c>
      <c r="B2" s="2" t="s">
        <v>66</v>
      </c>
      <c r="C2" s="2" t="s">
        <v>10</v>
      </c>
      <c r="D2" s="2" t="s">
        <v>67</v>
      </c>
      <c r="E2" s="2" t="n">
        <v>23</v>
      </c>
      <c r="F2" s="3" t="n">
        <v>29592</v>
      </c>
      <c r="G2" s="16" t="n">
        <v>45315</v>
      </c>
    </row>
    <row r="3" customFormat="false" ht="15" hidden="false" customHeight="false" outlineLevel="0" collapsed="false">
      <c r="A3" s="2" t="s">
        <v>68</v>
      </c>
      <c r="B3" s="2" t="s">
        <v>69</v>
      </c>
      <c r="C3" s="2" t="s">
        <v>12</v>
      </c>
      <c r="D3" s="2" t="s">
        <v>70</v>
      </c>
      <c r="E3" s="2" t="n">
        <v>11</v>
      </c>
      <c r="F3" s="3" t="n">
        <v>47098</v>
      </c>
      <c r="G3" s="16" t="n">
        <v>45387</v>
      </c>
    </row>
    <row r="4" customFormat="false" ht="15" hidden="false" customHeight="false" outlineLevel="0" collapsed="false">
      <c r="A4" s="2" t="s">
        <v>71</v>
      </c>
      <c r="B4" s="2" t="s">
        <v>72</v>
      </c>
      <c r="C4" s="2" t="s">
        <v>14</v>
      </c>
      <c r="D4" s="2" t="s">
        <v>73</v>
      </c>
      <c r="E4" s="2" t="n">
        <v>6</v>
      </c>
      <c r="F4" s="3" t="n">
        <v>103696</v>
      </c>
      <c r="G4" s="16" t="n">
        <v>45644</v>
      </c>
    </row>
    <row r="5" customFormat="false" ht="15" hidden="false" customHeight="false" outlineLevel="0" collapsed="false">
      <c r="A5" s="2" t="s">
        <v>74</v>
      </c>
      <c r="B5" s="2" t="s">
        <v>75</v>
      </c>
      <c r="C5" s="2" t="s">
        <v>8</v>
      </c>
      <c r="D5" s="2" t="s">
        <v>67</v>
      </c>
      <c r="E5" s="2" t="n">
        <v>5</v>
      </c>
      <c r="F5" s="3" t="n">
        <v>92397</v>
      </c>
      <c r="G5" s="16" t="n">
        <v>45475</v>
      </c>
    </row>
    <row r="6" customFormat="false" ht="15" hidden="false" customHeight="false" outlineLevel="0" collapsed="false">
      <c r="A6" s="2" t="s">
        <v>76</v>
      </c>
      <c r="B6" s="2" t="s">
        <v>77</v>
      </c>
      <c r="C6" s="2" t="s">
        <v>10</v>
      </c>
      <c r="D6" s="2" t="s">
        <v>70</v>
      </c>
      <c r="E6" s="2" t="n">
        <v>3</v>
      </c>
      <c r="F6" s="3" t="n">
        <v>27280</v>
      </c>
      <c r="G6" s="16" t="n">
        <v>45390</v>
      </c>
    </row>
    <row r="7" customFormat="false" ht="15" hidden="false" customHeight="false" outlineLevel="0" collapsed="false">
      <c r="A7" s="2" t="s">
        <v>78</v>
      </c>
      <c r="B7" s="2" t="s">
        <v>79</v>
      </c>
      <c r="C7" s="2" t="s">
        <v>12</v>
      </c>
      <c r="D7" s="2" t="s">
        <v>73</v>
      </c>
      <c r="E7" s="2" t="n">
        <v>19</v>
      </c>
      <c r="F7" s="3" t="n">
        <v>93907</v>
      </c>
      <c r="G7" s="16" t="n">
        <v>45309</v>
      </c>
    </row>
    <row r="8" customFormat="false" ht="15" hidden="false" customHeight="false" outlineLevel="0" collapsed="false">
      <c r="A8" s="2" t="s">
        <v>80</v>
      </c>
      <c r="B8" s="2" t="s">
        <v>81</v>
      </c>
      <c r="C8" s="2" t="s">
        <v>14</v>
      </c>
      <c r="D8" s="2" t="s">
        <v>67</v>
      </c>
      <c r="E8" s="2" t="n">
        <v>9</v>
      </c>
      <c r="F8" s="3" t="n">
        <v>108850</v>
      </c>
      <c r="G8" s="16" t="n">
        <v>45619</v>
      </c>
    </row>
    <row r="9" customFormat="false" ht="15" hidden="false" customHeight="false" outlineLevel="0" collapsed="false">
      <c r="A9" s="2" t="s">
        <v>82</v>
      </c>
      <c r="B9" s="2" t="s">
        <v>83</v>
      </c>
      <c r="C9" s="2" t="s">
        <v>8</v>
      </c>
      <c r="D9" s="2" t="s">
        <v>70</v>
      </c>
      <c r="E9" s="2" t="n">
        <v>20</v>
      </c>
      <c r="F9" s="3" t="n">
        <v>69987</v>
      </c>
      <c r="G9" s="16" t="n">
        <v>45397</v>
      </c>
    </row>
    <row r="10" customFormat="false" ht="15" hidden="false" customHeight="false" outlineLevel="0" collapsed="false">
      <c r="A10" s="2" t="s">
        <v>84</v>
      </c>
      <c r="B10" s="2" t="s">
        <v>85</v>
      </c>
      <c r="C10" s="2" t="s">
        <v>10</v>
      </c>
      <c r="D10" s="2" t="s">
        <v>73</v>
      </c>
      <c r="E10" s="2" t="n">
        <v>21</v>
      </c>
      <c r="F10" s="3" t="n">
        <v>51463</v>
      </c>
      <c r="G10" s="16" t="n">
        <v>45316</v>
      </c>
    </row>
    <row r="11" customFormat="false" ht="15" hidden="false" customHeight="false" outlineLevel="0" collapsed="false">
      <c r="A11" s="2" t="s">
        <v>86</v>
      </c>
      <c r="B11" s="2" t="s">
        <v>87</v>
      </c>
      <c r="C11" s="2" t="s">
        <v>12</v>
      </c>
      <c r="D11" s="2" t="s">
        <v>67</v>
      </c>
      <c r="E11" s="2" t="n">
        <v>8</v>
      </c>
      <c r="F11" s="3" t="n">
        <v>106506</v>
      </c>
      <c r="G11" s="16" t="n">
        <v>45484</v>
      </c>
    </row>
    <row r="12" customFormat="false" ht="15" hidden="false" customHeight="false" outlineLevel="0" collapsed="false">
      <c r="A12" s="2" t="s">
        <v>88</v>
      </c>
      <c r="B12" s="2" t="s">
        <v>89</v>
      </c>
      <c r="C12" s="2" t="s">
        <v>14</v>
      </c>
      <c r="D12" s="2" t="s">
        <v>70</v>
      </c>
      <c r="E12" s="2" t="n">
        <v>11</v>
      </c>
      <c r="F12" s="3" t="n">
        <v>35379</v>
      </c>
      <c r="G12" s="16" t="n">
        <v>45407</v>
      </c>
    </row>
    <row r="13" customFormat="false" ht="15" hidden="false" customHeight="false" outlineLevel="0" collapsed="false">
      <c r="A13" s="2" t="s">
        <v>90</v>
      </c>
      <c r="B13" s="2" t="s">
        <v>91</v>
      </c>
      <c r="C13" s="2" t="s">
        <v>8</v>
      </c>
      <c r="D13" s="2" t="s">
        <v>73</v>
      </c>
      <c r="E13" s="2" t="n">
        <v>13</v>
      </c>
      <c r="F13" s="3" t="n">
        <v>28396</v>
      </c>
      <c r="G13" s="16" t="n">
        <v>45335</v>
      </c>
    </row>
    <row r="14" customFormat="false" ht="15" hidden="false" customHeight="false" outlineLevel="0" collapsed="false">
      <c r="A14" s="2" t="s">
        <v>92</v>
      </c>
      <c r="B14" s="2" t="s">
        <v>93</v>
      </c>
      <c r="C14" s="2" t="s">
        <v>10</v>
      </c>
      <c r="D14" s="2" t="s">
        <v>67</v>
      </c>
      <c r="E14" s="2" t="n">
        <v>6</v>
      </c>
      <c r="F14" s="3" t="n">
        <v>62052</v>
      </c>
      <c r="G14" s="16" t="n">
        <v>45463</v>
      </c>
    </row>
    <row r="15" customFormat="false" ht="15" hidden="false" customHeight="false" outlineLevel="0" collapsed="false">
      <c r="A15" s="2" t="s">
        <v>94</v>
      </c>
      <c r="B15" s="2" t="s">
        <v>95</v>
      </c>
      <c r="C15" s="2" t="s">
        <v>12</v>
      </c>
      <c r="D15" s="2" t="s">
        <v>70</v>
      </c>
      <c r="E15" s="2" t="n">
        <v>11</v>
      </c>
      <c r="F15" s="3" t="n">
        <v>20695</v>
      </c>
      <c r="G15" s="16" t="n">
        <v>45641</v>
      </c>
    </row>
    <row r="16" customFormat="false" ht="15" hidden="false" customHeight="false" outlineLevel="0" collapsed="false">
      <c r="A16" s="2" t="s">
        <v>96</v>
      </c>
      <c r="B16" s="2" t="s">
        <v>97</v>
      </c>
      <c r="C16" s="2" t="s">
        <v>14</v>
      </c>
      <c r="D16" s="2" t="s">
        <v>73</v>
      </c>
      <c r="E16" s="2" t="n">
        <v>20</v>
      </c>
      <c r="F16" s="3" t="n">
        <v>31361</v>
      </c>
      <c r="G16" s="16" t="n">
        <v>45476</v>
      </c>
    </row>
    <row r="17" customFormat="false" ht="15" hidden="false" customHeight="false" outlineLevel="0" collapsed="false">
      <c r="A17" s="2" t="s">
        <v>98</v>
      </c>
      <c r="B17" s="2" t="s">
        <v>99</v>
      </c>
      <c r="C17" s="2" t="s">
        <v>8</v>
      </c>
      <c r="D17" s="2" t="s">
        <v>67</v>
      </c>
      <c r="E17" s="2" t="n">
        <v>20</v>
      </c>
      <c r="F17" s="3" t="n">
        <v>53427</v>
      </c>
      <c r="G17" s="16" t="n">
        <v>45616</v>
      </c>
    </row>
    <row r="18" customFormat="false" ht="15" hidden="false" customHeight="false" outlineLevel="0" collapsed="false">
      <c r="A18" s="2" t="s">
        <v>100</v>
      </c>
      <c r="B18" s="2" t="s">
        <v>101</v>
      </c>
      <c r="C18" s="2" t="s">
        <v>10</v>
      </c>
      <c r="D18" s="2" t="s">
        <v>70</v>
      </c>
      <c r="E18" s="2" t="n">
        <v>14</v>
      </c>
      <c r="F18" s="3" t="n">
        <v>90674</v>
      </c>
      <c r="G18" s="16" t="n">
        <v>45405</v>
      </c>
    </row>
    <row r="19" customFormat="false" ht="15" hidden="false" customHeight="false" outlineLevel="0" collapsed="false">
      <c r="A19" s="2" t="s">
        <v>102</v>
      </c>
      <c r="B19" s="2" t="s">
        <v>103</v>
      </c>
      <c r="C19" s="2" t="s">
        <v>12</v>
      </c>
      <c r="D19" s="2" t="s">
        <v>73</v>
      </c>
      <c r="E19" s="2" t="n">
        <v>5</v>
      </c>
      <c r="F19" s="3" t="n">
        <v>21006</v>
      </c>
      <c r="G19" s="16" t="n">
        <v>45604</v>
      </c>
    </row>
    <row r="20" customFormat="false" ht="15" hidden="false" customHeight="false" outlineLevel="0" collapsed="false">
      <c r="A20" s="2" t="s">
        <v>104</v>
      </c>
      <c r="B20" s="2" t="s">
        <v>105</v>
      </c>
      <c r="C20" s="2" t="s">
        <v>14</v>
      </c>
      <c r="D20" s="2" t="s">
        <v>67</v>
      </c>
      <c r="E20" s="2" t="n">
        <v>12</v>
      </c>
      <c r="F20" s="3" t="n">
        <v>25458</v>
      </c>
      <c r="G20" s="16" t="n">
        <v>45410</v>
      </c>
    </row>
    <row r="21" customFormat="false" ht="15" hidden="false" customHeight="false" outlineLevel="0" collapsed="false">
      <c r="A21" s="2" t="s">
        <v>106</v>
      </c>
      <c r="B21" s="2" t="s">
        <v>107</v>
      </c>
      <c r="C21" s="2" t="s">
        <v>8</v>
      </c>
      <c r="D21" s="2" t="s">
        <v>70</v>
      </c>
      <c r="E21" s="2" t="n">
        <v>6</v>
      </c>
      <c r="F21" s="3" t="n">
        <v>64823</v>
      </c>
      <c r="G21" s="16" t="n">
        <v>45427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10</v>
      </c>
      <c r="D22" s="2" t="s">
        <v>73</v>
      </c>
      <c r="E22" s="2" t="n">
        <v>23</v>
      </c>
      <c r="F22" s="3" t="n">
        <v>62819</v>
      </c>
      <c r="G22" s="16" t="n">
        <v>45363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12</v>
      </c>
      <c r="D23" s="2" t="s">
        <v>67</v>
      </c>
      <c r="E23" s="2" t="n">
        <v>14</v>
      </c>
      <c r="F23" s="3" t="n">
        <v>42460</v>
      </c>
      <c r="G23" s="16" t="n">
        <v>45605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14</v>
      </c>
      <c r="D24" s="2" t="s">
        <v>70</v>
      </c>
      <c r="E24" s="2" t="n">
        <v>25</v>
      </c>
      <c r="F24" s="3" t="n">
        <v>104593</v>
      </c>
      <c r="G24" s="16" t="n">
        <v>45599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8</v>
      </c>
      <c r="D25" s="2" t="s">
        <v>73</v>
      </c>
      <c r="E25" s="2" t="n">
        <v>22</v>
      </c>
      <c r="F25" s="3" t="n">
        <v>98227</v>
      </c>
      <c r="G25" s="16" t="n">
        <v>45369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10</v>
      </c>
      <c r="D26" s="2" t="s">
        <v>67</v>
      </c>
      <c r="E26" s="2" t="n">
        <v>10</v>
      </c>
      <c r="F26" s="3" t="n">
        <v>36417</v>
      </c>
      <c r="G26" s="16" t="n">
        <v>45517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12</v>
      </c>
      <c r="D27" s="2" t="s">
        <v>70</v>
      </c>
      <c r="E27" s="2" t="n">
        <v>11</v>
      </c>
      <c r="F27" s="3" t="n">
        <v>98886</v>
      </c>
      <c r="G27" s="16" t="n">
        <v>45644</v>
      </c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14</v>
      </c>
      <c r="D28" s="2" t="s">
        <v>73</v>
      </c>
      <c r="E28" s="2" t="n">
        <v>10</v>
      </c>
      <c r="F28" s="3" t="n">
        <v>104733</v>
      </c>
      <c r="G28" s="16" t="n">
        <v>45470</v>
      </c>
    </row>
    <row r="29" customFormat="false" ht="15" hidden="false" customHeight="false" outlineLevel="0" collapsed="false">
      <c r="A29" s="2" t="s">
        <v>122</v>
      </c>
      <c r="B29" s="2" t="s">
        <v>123</v>
      </c>
      <c r="C29" s="2" t="s">
        <v>8</v>
      </c>
      <c r="D29" s="2" t="s">
        <v>67</v>
      </c>
      <c r="E29" s="2" t="n">
        <v>4</v>
      </c>
      <c r="F29" s="3" t="n">
        <v>45021</v>
      </c>
      <c r="G29" s="16" t="n">
        <v>45317</v>
      </c>
    </row>
    <row r="30" customFormat="false" ht="15" hidden="false" customHeight="false" outlineLevel="0" collapsed="false">
      <c r="A30" s="2" t="s">
        <v>124</v>
      </c>
      <c r="B30" s="2" t="s">
        <v>125</v>
      </c>
      <c r="C30" s="2" t="s">
        <v>10</v>
      </c>
      <c r="D30" s="2" t="s">
        <v>70</v>
      </c>
      <c r="E30" s="2" t="n">
        <v>13</v>
      </c>
      <c r="F30" s="3" t="n">
        <v>67581</v>
      </c>
      <c r="G30" s="16" t="n">
        <v>45415</v>
      </c>
    </row>
    <row r="31" customFormat="false" ht="15" hidden="false" customHeight="false" outlineLevel="0" collapsed="false">
      <c r="A31" s="2" t="s">
        <v>126</v>
      </c>
      <c r="B31" s="2" t="s">
        <v>127</v>
      </c>
      <c r="C31" s="2" t="s">
        <v>12</v>
      </c>
      <c r="D31" s="2" t="s">
        <v>73</v>
      </c>
      <c r="E31" s="2" t="n">
        <v>9</v>
      </c>
      <c r="F31" s="3" t="n">
        <v>89341</v>
      </c>
      <c r="G31" s="16" t="n">
        <v>45637</v>
      </c>
    </row>
    <row r="32" customFormat="false" ht="15" hidden="false" customHeight="false" outlineLevel="0" collapsed="false">
      <c r="A32" s="2" t="s">
        <v>128</v>
      </c>
      <c r="B32" s="2" t="s">
        <v>129</v>
      </c>
      <c r="C32" s="2" t="s">
        <v>14</v>
      </c>
      <c r="D32" s="2" t="s">
        <v>67</v>
      </c>
      <c r="E32" s="2" t="n">
        <v>9</v>
      </c>
      <c r="F32" s="3" t="n">
        <v>100909</v>
      </c>
      <c r="G32" s="16" t="n">
        <v>45517</v>
      </c>
    </row>
    <row r="33" customFormat="false" ht="15" hidden="false" customHeight="false" outlineLevel="0" collapsed="false">
      <c r="A33" s="2" t="s">
        <v>130</v>
      </c>
      <c r="B33" s="2" t="s">
        <v>131</v>
      </c>
      <c r="C33" s="2" t="s">
        <v>8</v>
      </c>
      <c r="D33" s="2" t="s">
        <v>70</v>
      </c>
      <c r="E33" s="2" t="n">
        <v>23</v>
      </c>
      <c r="F33" s="3" t="n">
        <v>75142</v>
      </c>
      <c r="G33" s="16" t="n">
        <v>45360</v>
      </c>
    </row>
    <row r="34" customFormat="false" ht="15" hidden="false" customHeight="false" outlineLevel="0" collapsed="false">
      <c r="A34" s="2" t="s">
        <v>132</v>
      </c>
      <c r="B34" s="2" t="s">
        <v>133</v>
      </c>
      <c r="C34" s="2" t="s">
        <v>10</v>
      </c>
      <c r="D34" s="2" t="s">
        <v>73</v>
      </c>
      <c r="E34" s="2" t="n">
        <v>7</v>
      </c>
      <c r="F34" s="3" t="n">
        <v>47325</v>
      </c>
      <c r="G34" s="16" t="n">
        <v>45644</v>
      </c>
    </row>
    <row r="35" customFormat="false" ht="15" hidden="false" customHeight="false" outlineLevel="0" collapsed="false">
      <c r="A35" s="2" t="s">
        <v>134</v>
      </c>
      <c r="B35" s="2" t="s">
        <v>135</v>
      </c>
      <c r="C35" s="2" t="s">
        <v>12</v>
      </c>
      <c r="D35" s="2" t="s">
        <v>67</v>
      </c>
      <c r="E35" s="2" t="n">
        <v>20</v>
      </c>
      <c r="F35" s="3" t="n">
        <v>49438</v>
      </c>
      <c r="G35" s="16" t="n">
        <v>45645</v>
      </c>
    </row>
    <row r="36" customFormat="false" ht="15" hidden="false" customHeight="false" outlineLevel="0" collapsed="false">
      <c r="A36" s="2" t="s">
        <v>136</v>
      </c>
      <c r="B36" s="2" t="s">
        <v>137</v>
      </c>
      <c r="C36" s="2" t="s">
        <v>14</v>
      </c>
      <c r="D36" s="2" t="s">
        <v>70</v>
      </c>
      <c r="E36" s="2" t="n">
        <v>16</v>
      </c>
      <c r="F36" s="3" t="n">
        <v>91484</v>
      </c>
      <c r="G36" s="16" t="n">
        <v>45485</v>
      </c>
    </row>
    <row r="37" customFormat="false" ht="15" hidden="false" customHeight="false" outlineLevel="0" collapsed="false">
      <c r="A37" s="2" t="s">
        <v>138</v>
      </c>
      <c r="B37" s="2" t="s">
        <v>139</v>
      </c>
      <c r="C37" s="2" t="s">
        <v>8</v>
      </c>
      <c r="D37" s="2" t="s">
        <v>73</v>
      </c>
      <c r="E37" s="2" t="n">
        <v>10</v>
      </c>
      <c r="F37" s="3" t="n">
        <v>33131</v>
      </c>
      <c r="G37" s="16" t="n">
        <v>45551</v>
      </c>
    </row>
    <row r="38" customFormat="false" ht="15" hidden="false" customHeight="false" outlineLevel="0" collapsed="false">
      <c r="A38" s="2" t="s">
        <v>140</v>
      </c>
      <c r="B38" s="2" t="s">
        <v>141</v>
      </c>
      <c r="C38" s="2" t="s">
        <v>10</v>
      </c>
      <c r="D38" s="2" t="s">
        <v>67</v>
      </c>
      <c r="E38" s="2" t="n">
        <v>5</v>
      </c>
      <c r="F38" s="3" t="n">
        <v>114061</v>
      </c>
      <c r="G38" s="16" t="n">
        <v>45319</v>
      </c>
    </row>
    <row r="39" customFormat="false" ht="15" hidden="false" customHeight="false" outlineLevel="0" collapsed="false">
      <c r="A39" s="2" t="s">
        <v>142</v>
      </c>
      <c r="B39" s="2" t="s">
        <v>143</v>
      </c>
      <c r="C39" s="2" t="s">
        <v>12</v>
      </c>
      <c r="D39" s="2" t="s">
        <v>70</v>
      </c>
      <c r="E39" s="2" t="n">
        <v>6</v>
      </c>
      <c r="F39" s="3" t="n">
        <v>35033</v>
      </c>
      <c r="G39" s="16" t="n">
        <v>45602</v>
      </c>
    </row>
    <row r="40" customFormat="false" ht="15" hidden="false" customHeight="false" outlineLevel="0" collapsed="false">
      <c r="A40" s="2" t="s">
        <v>144</v>
      </c>
      <c r="B40" s="2" t="s">
        <v>145</v>
      </c>
      <c r="C40" s="2" t="s">
        <v>14</v>
      </c>
      <c r="D40" s="2" t="s">
        <v>73</v>
      </c>
      <c r="E40" s="2" t="n">
        <v>24</v>
      </c>
      <c r="F40" s="3" t="n">
        <v>70333</v>
      </c>
      <c r="G40" s="16" t="n">
        <v>45568</v>
      </c>
    </row>
    <row r="41" customFormat="false" ht="15" hidden="false" customHeight="false" outlineLevel="0" collapsed="false">
      <c r="A41" s="2" t="s">
        <v>146</v>
      </c>
      <c r="B41" s="2" t="s">
        <v>147</v>
      </c>
      <c r="C41" s="2" t="s">
        <v>8</v>
      </c>
      <c r="D41" s="2" t="s">
        <v>67</v>
      </c>
      <c r="E41" s="2" t="n">
        <v>15</v>
      </c>
      <c r="F41" s="3" t="n">
        <v>65019</v>
      </c>
      <c r="G41" s="16" t="n">
        <v>45580</v>
      </c>
    </row>
    <row r="42" customFormat="false" ht="15" hidden="false" customHeight="false" outlineLevel="0" collapsed="false">
      <c r="A42" s="2" t="s">
        <v>148</v>
      </c>
      <c r="B42" s="2" t="s">
        <v>149</v>
      </c>
      <c r="C42" s="2" t="s">
        <v>10</v>
      </c>
      <c r="D42" s="2" t="s">
        <v>70</v>
      </c>
      <c r="E42" s="2" t="n">
        <v>19</v>
      </c>
      <c r="F42" s="3" t="n">
        <v>47953</v>
      </c>
      <c r="G42" s="16" t="n">
        <v>45563</v>
      </c>
    </row>
    <row r="43" customFormat="false" ht="15" hidden="false" customHeight="false" outlineLevel="0" collapsed="false">
      <c r="A43" s="2" t="s">
        <v>150</v>
      </c>
      <c r="B43" s="2" t="s">
        <v>151</v>
      </c>
      <c r="C43" s="2" t="s">
        <v>12</v>
      </c>
      <c r="D43" s="2" t="s">
        <v>73</v>
      </c>
      <c r="E43" s="2" t="n">
        <v>3</v>
      </c>
      <c r="F43" s="3" t="n">
        <v>104166</v>
      </c>
      <c r="G43" s="16" t="n">
        <v>45630</v>
      </c>
    </row>
    <row r="44" customFormat="false" ht="15" hidden="false" customHeight="false" outlineLevel="0" collapsed="false">
      <c r="A44" s="2" t="s">
        <v>152</v>
      </c>
      <c r="B44" s="2" t="s">
        <v>153</v>
      </c>
      <c r="C44" s="2" t="s">
        <v>14</v>
      </c>
      <c r="D44" s="2" t="s">
        <v>67</v>
      </c>
      <c r="E44" s="2" t="n">
        <v>24</v>
      </c>
      <c r="F44" s="3" t="n">
        <v>85381</v>
      </c>
      <c r="G44" s="16" t="n">
        <v>45437</v>
      </c>
    </row>
    <row r="45" customFormat="false" ht="15" hidden="false" customHeight="false" outlineLevel="0" collapsed="false">
      <c r="A45" s="2" t="s">
        <v>154</v>
      </c>
      <c r="B45" s="2" t="s">
        <v>155</v>
      </c>
      <c r="C45" s="2" t="s">
        <v>8</v>
      </c>
      <c r="D45" s="2" t="s">
        <v>70</v>
      </c>
      <c r="E45" s="2" t="n">
        <v>23</v>
      </c>
      <c r="F45" s="3" t="n">
        <v>59587</v>
      </c>
      <c r="G45" s="16" t="n">
        <v>45332</v>
      </c>
    </row>
    <row r="46" customFormat="false" ht="15" hidden="false" customHeight="false" outlineLevel="0" collapsed="false">
      <c r="A46" s="2" t="s">
        <v>156</v>
      </c>
      <c r="B46" s="2" t="s">
        <v>157</v>
      </c>
      <c r="C46" s="2" t="s">
        <v>10</v>
      </c>
      <c r="D46" s="2" t="s">
        <v>73</v>
      </c>
      <c r="E46" s="2" t="n">
        <v>16</v>
      </c>
      <c r="F46" s="3" t="n">
        <v>35730</v>
      </c>
      <c r="G46" s="16" t="n">
        <v>45505</v>
      </c>
    </row>
    <row r="47" customFormat="false" ht="15" hidden="false" customHeight="false" outlineLevel="0" collapsed="false">
      <c r="A47" s="2" t="s">
        <v>158</v>
      </c>
      <c r="B47" s="2" t="s">
        <v>159</v>
      </c>
      <c r="C47" s="2" t="s">
        <v>12</v>
      </c>
      <c r="D47" s="2" t="s">
        <v>67</v>
      </c>
      <c r="E47" s="2" t="n">
        <v>11</v>
      </c>
      <c r="F47" s="3" t="n">
        <v>80612</v>
      </c>
      <c r="G47" s="16" t="n">
        <v>45368</v>
      </c>
    </row>
    <row r="48" customFormat="false" ht="15" hidden="false" customHeight="false" outlineLevel="0" collapsed="false">
      <c r="A48" s="2" t="s">
        <v>160</v>
      </c>
      <c r="B48" s="2" t="s">
        <v>161</v>
      </c>
      <c r="C48" s="2" t="s">
        <v>14</v>
      </c>
      <c r="D48" s="2" t="s">
        <v>70</v>
      </c>
      <c r="E48" s="2" t="n">
        <v>6</v>
      </c>
      <c r="F48" s="3" t="n">
        <v>96959</v>
      </c>
      <c r="G48" s="16" t="n">
        <v>45439</v>
      </c>
    </row>
    <row r="49" customFormat="false" ht="15" hidden="false" customHeight="false" outlineLevel="0" collapsed="false">
      <c r="A49" s="2" t="s">
        <v>162</v>
      </c>
      <c r="B49" s="2" t="s">
        <v>163</v>
      </c>
      <c r="C49" s="2" t="s">
        <v>8</v>
      </c>
      <c r="D49" s="2" t="s">
        <v>73</v>
      </c>
      <c r="E49" s="2" t="n">
        <v>23</v>
      </c>
      <c r="F49" s="3" t="n">
        <v>81540</v>
      </c>
      <c r="G49" s="16" t="n">
        <v>45572</v>
      </c>
    </row>
    <row r="50" customFormat="false" ht="15" hidden="false" customHeight="false" outlineLevel="0" collapsed="false">
      <c r="A50" s="2" t="s">
        <v>164</v>
      </c>
      <c r="B50" s="2" t="s">
        <v>165</v>
      </c>
      <c r="C50" s="2" t="s">
        <v>10</v>
      </c>
      <c r="D50" s="2" t="s">
        <v>67</v>
      </c>
      <c r="E50" s="2" t="n">
        <v>7</v>
      </c>
      <c r="F50" s="3" t="n">
        <v>64009</v>
      </c>
      <c r="G50" s="16" t="n">
        <v>45369</v>
      </c>
    </row>
    <row r="51" customFormat="false" ht="15" hidden="false" customHeight="false" outlineLevel="0" collapsed="false">
      <c r="A51" s="2" t="s">
        <v>166</v>
      </c>
      <c r="B51" s="2" t="s">
        <v>167</v>
      </c>
      <c r="C51" s="2" t="s">
        <v>12</v>
      </c>
      <c r="D51" s="2" t="s">
        <v>70</v>
      </c>
      <c r="E51" s="2" t="n">
        <v>19</v>
      </c>
      <c r="F51" s="3" t="n">
        <v>15074</v>
      </c>
      <c r="G51" s="16" t="n">
        <v>45576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7" t="s">
        <v>168</v>
      </c>
      <c r="B1" s="17" t="s">
        <v>169</v>
      </c>
    </row>
    <row r="2" customFormat="false" ht="15" hidden="false" customHeight="false" outlineLevel="0" collapsed="false">
      <c r="A2" s="18" t="s">
        <v>170</v>
      </c>
      <c r="B2" s="19" t="s">
        <v>171</v>
      </c>
    </row>
    <row r="3" customFormat="false" ht="15" hidden="false" customHeight="false" outlineLevel="0" collapsed="false">
      <c r="A3" s="20" t="s">
        <v>172</v>
      </c>
      <c r="B3" s="21" t="s">
        <v>173</v>
      </c>
    </row>
    <row r="4" customFormat="false" ht="15" hidden="false" customHeight="false" outlineLevel="0" collapsed="false">
      <c r="A4" s="18" t="s">
        <v>174</v>
      </c>
      <c r="B4" s="19" t="s">
        <v>175</v>
      </c>
    </row>
    <row r="5" customFormat="false" ht="15" hidden="false" customHeight="false" outlineLevel="0" collapsed="false">
      <c r="A5" s="20" t="s">
        <v>176</v>
      </c>
      <c r="B5" s="21" t="s">
        <v>177</v>
      </c>
    </row>
    <row r="6" customFormat="false" ht="15" hidden="false" customHeight="false" outlineLevel="0" collapsed="false">
      <c r="A6" s="18" t="s">
        <v>178</v>
      </c>
      <c r="B6" s="19" t="s">
        <v>179</v>
      </c>
    </row>
    <row r="7" customFormat="false" ht="15" hidden="false" customHeight="false" outlineLevel="0" collapsed="false">
      <c r="A7" s="20" t="s">
        <v>180</v>
      </c>
      <c r="B7" s="21" t="s">
        <v>181</v>
      </c>
    </row>
    <row r="8" customFormat="false" ht="15" hidden="false" customHeight="false" outlineLevel="0" collapsed="false">
      <c r="A8" s="18" t="s">
        <v>182</v>
      </c>
      <c r="B8" s="19" t="s">
        <v>183</v>
      </c>
    </row>
    <row r="9" customFormat="false" ht="15" hidden="false" customHeight="false" outlineLevel="0" collapsed="false">
      <c r="A9" s="20" t="s">
        <v>184</v>
      </c>
      <c r="B9" s="21" t="s">
        <v>185</v>
      </c>
    </row>
    <row r="10" customFormat="false" ht="15" hidden="false" customHeight="false" outlineLevel="0" collapsed="false">
      <c r="A10" s="18" t="s">
        <v>186</v>
      </c>
      <c r="B10" s="19" t="s">
        <v>187</v>
      </c>
    </row>
    <row r="11" customFormat="false" ht="15" hidden="false" customHeight="false" outlineLevel="0" collapsed="false">
      <c r="A11" s="20" t="s">
        <v>188</v>
      </c>
      <c r="B11" s="21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2026-05-23T18:54:17Z</dcterms:created>
  <dc:creator>openpyxl</dc:creator>
  <dc:description/>
  <dc:language>en-US</dc:language>
  <cp:lastModifiedBy/>
  <dcterms:modified xsi:type="dcterms:W3CDTF">2026-05-23T18:54:17Z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